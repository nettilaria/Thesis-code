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ria\Desktop\Tesi magistrale\"/>
    </mc:Choice>
  </mc:AlternateContent>
  <xr:revisionPtr revIDLastSave="0" documentId="13_ncr:1_{242D67F2-C779-47B1-A05B-6A98E376CD1D}" xr6:coauthVersionLast="47" xr6:coauthVersionMax="47" xr10:uidLastSave="{00000000-0000-0000-0000-000000000000}"/>
  <bookViews>
    <workbookView xWindow="-108" yWindow="-108" windowWidth="23256" windowHeight="13176" xr2:uid="{F1D5E2A8-60BD-4C8F-A192-3D2FFC1D35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7" i="1" l="1"/>
  <c r="H108" i="1"/>
  <c r="H109" i="1"/>
  <c r="H110" i="1"/>
  <c r="H111" i="1"/>
  <c r="H112" i="1"/>
  <c r="H106" i="1"/>
  <c r="H97" i="1"/>
  <c r="H98" i="1"/>
  <c r="H99" i="1"/>
  <c r="H100" i="1"/>
  <c r="H101" i="1"/>
  <c r="H102" i="1"/>
  <c r="H96" i="1"/>
  <c r="H87" i="1"/>
  <c r="H88" i="1"/>
  <c r="H89" i="1"/>
  <c r="H90" i="1"/>
  <c r="H91" i="1"/>
  <c r="H92" i="1"/>
  <c r="H86" i="1"/>
  <c r="H44" i="1"/>
  <c r="S77" i="1"/>
  <c r="S75" i="1"/>
  <c r="S73" i="1"/>
  <c r="S71" i="1"/>
  <c r="S64" i="1"/>
  <c r="S62" i="1"/>
  <c r="S60" i="1"/>
  <c r="S58" i="1"/>
  <c r="S50" i="1"/>
  <c r="S48" i="1"/>
  <c r="S46" i="1"/>
  <c r="S44" i="1"/>
  <c r="H77" i="1"/>
  <c r="H75" i="1"/>
  <c r="H73" i="1"/>
  <c r="H71" i="1"/>
  <c r="H64" i="1"/>
  <c r="H62" i="1"/>
  <c r="H60" i="1"/>
  <c r="H58" i="1"/>
  <c r="H50" i="1"/>
  <c r="H48" i="1"/>
  <c r="H46" i="1"/>
  <c r="H35" i="1"/>
  <c r="H33" i="1"/>
  <c r="H31" i="1"/>
  <c r="L21" i="1" s="1"/>
  <c r="H4" i="1"/>
  <c r="H37" i="1"/>
  <c r="H20" i="1"/>
  <c r="L23" i="1" s="1"/>
  <c r="H22" i="1"/>
  <c r="H24" i="1"/>
  <c r="H18" i="1"/>
  <c r="H8" i="1"/>
  <c r="H10" i="1"/>
  <c r="H6" i="1"/>
  <c r="A2" i="1"/>
</calcChain>
</file>

<file path=xl/sharedStrings.xml><?xml version="1.0" encoding="utf-8"?>
<sst xmlns="http://schemas.openxmlformats.org/spreadsheetml/2006/main" count="80" uniqueCount="27">
  <si>
    <t>cs2</t>
  </si>
  <si>
    <t>s2/dt</t>
  </si>
  <si>
    <t>s1 BDT</t>
  </si>
  <si>
    <t>S2 BDT</t>
  </si>
  <si>
    <t>AC</t>
  </si>
  <si>
    <t>sum</t>
  </si>
  <si>
    <t>ER</t>
  </si>
  <si>
    <t>Neutron</t>
  </si>
  <si>
    <t>The binning is defined such that, in the</t>
  </si>
  <si>
    <t>projection onto each dimension, the expected number of</t>
  </si>
  <si>
    <t>AC events per bin is the same.</t>
  </si>
  <si>
    <t xml:space="preserve">are just projected in the different observables. </t>
  </si>
  <si>
    <t>So the total number of events is not the same of each bin in each observable. You can just pick one observable and compute the number of event</t>
  </si>
  <si>
    <t xml:space="preserve">The 2026 is the right paper to make a comparison with, as they said in the GitHub: </t>
  </si>
  <si>
    <t>SR0, SR1, and SR2 data and templates were used in arXiv:2604.06002</t>
  </si>
  <si>
    <r>
      <t xml:space="preserve">I'm comparing the data of my code with the expected data of the collaboration from </t>
    </r>
    <r>
      <rPr>
        <sz val="11"/>
        <color rgb="FFFF0000"/>
        <rFont val="Calibri"/>
        <family val="2"/>
        <scheme val="minor"/>
      </rPr>
      <t>https://arxiv.org/pdf/2604.06002</t>
    </r>
  </si>
  <si>
    <t>SR0</t>
  </si>
  <si>
    <t>SR1</t>
  </si>
  <si>
    <t>SR2</t>
  </si>
  <si>
    <t xml:space="preserve">Neutron: </t>
  </si>
  <si>
    <t>[…] 0.8 events for the three SRs combined [...]</t>
  </si>
  <si>
    <t>The total number of events has to be the same for each observable. This is because the events (which are independent)</t>
  </si>
  <si>
    <t>Personal opinions</t>
  </si>
  <si>
    <t xml:space="preserve">Final results  </t>
  </si>
  <si>
    <t>The total expected ER background across the three SRs is 1.2 ± 1.2 events.</t>
  </si>
  <si>
    <t>CEVNS EVENTS BY USING THE COLLABORATION CODE</t>
  </si>
  <si>
    <t xml:space="preserve">They coincide with the one given IN Tab.1 here: https://arxiv.org/pdf/2604.06002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</si>
</sst>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0">
    <xf numFmtId="0" fontId="0" fillId="0" borderId="0" xfId="0"/>
    <xf numFmtId="0" fontId="2" fillId="2" borderId="0" xfId="2"/>
    <xf numFmtId="0" fontId="3" fillId="2" borderId="0" xfId="2" applyFont="1"/>
    <xf numFmtId="0" fontId="2" fillId="3" borderId="1" xfId="3" applyBorder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3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6" borderId="0" xfId="0" applyFont="1" applyFill="1"/>
  </cellXfs>
  <cellStyles count="4">
    <cellStyle name="20% - Colore 2" xfId="2" builtinId="34"/>
    <cellStyle name="40% - Colore 6" xfId="3" builtinId="51"/>
    <cellStyle name="Normale" xfId="0" builtinId="0"/>
    <cellStyle name="Totale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39D8-3E2A-4D90-8FEA-7E81F7AAF445}">
  <dimension ref="A1:X113"/>
  <sheetViews>
    <sheetView tabSelected="1" topLeftCell="B78" zoomScale="85" zoomScaleNormal="85" workbookViewId="0">
      <selection activeCell="L86" sqref="L86"/>
    </sheetView>
  </sheetViews>
  <sheetFormatPr defaultRowHeight="14.4" x14ac:dyDescent="0.3"/>
  <sheetData>
    <row r="1" spans="1:24" ht="15" thickBot="1" x14ac:dyDescent="0.35"/>
    <row r="2" spans="1:24" x14ac:dyDescent="0.3">
      <c r="A2" s="5">
        <f ca="1">A2:I39</f>
        <v>0</v>
      </c>
      <c r="B2" s="6"/>
      <c r="C2" s="6"/>
      <c r="D2" s="6" t="s">
        <v>4</v>
      </c>
      <c r="E2" s="6"/>
      <c r="F2" s="6"/>
      <c r="G2" s="6"/>
      <c r="H2" s="6"/>
      <c r="I2" s="7"/>
      <c r="J2" s="14" t="s">
        <v>16</v>
      </c>
      <c r="T2" s="17" t="s">
        <v>22</v>
      </c>
      <c r="U2" s="17"/>
    </row>
    <row r="3" spans="1:24" ht="15" thickBot="1" x14ac:dyDescent="0.35">
      <c r="A3" s="8"/>
      <c r="H3" s="9" t="s">
        <v>5</v>
      </c>
      <c r="I3" s="10"/>
      <c r="M3" t="s">
        <v>8</v>
      </c>
      <c r="T3" s="16" t="s">
        <v>23</v>
      </c>
      <c r="U3" s="16"/>
    </row>
    <row r="4" spans="1:24" ht="15.6" thickTop="1" thickBot="1" x14ac:dyDescent="0.35">
      <c r="A4" s="8" t="s">
        <v>0</v>
      </c>
      <c r="B4">
        <v>2.4938270999999999</v>
      </c>
      <c r="D4">
        <v>2.4939174099999999</v>
      </c>
      <c r="F4">
        <v>2.4938270999999999</v>
      </c>
      <c r="H4" s="3">
        <f>B4+D4+F4</f>
        <v>7.4815716099999996</v>
      </c>
      <c r="I4" s="10"/>
      <c r="M4" t="s">
        <v>9</v>
      </c>
    </row>
    <row r="5" spans="1:24" ht="15.6" thickTop="1" thickBot="1" x14ac:dyDescent="0.35">
      <c r="A5" s="8"/>
      <c r="H5" s="9"/>
      <c r="I5" s="10"/>
      <c r="M5" t="s">
        <v>10</v>
      </c>
    </row>
    <row r="6" spans="1:24" ht="15.6" thickTop="1" thickBot="1" x14ac:dyDescent="0.35">
      <c r="A6" s="8" t="s">
        <v>1</v>
      </c>
      <c r="B6">
        <v>2.49084686</v>
      </c>
      <c r="D6">
        <v>2.4943689600000001</v>
      </c>
      <c r="F6">
        <v>2.4964460900000001</v>
      </c>
      <c r="H6" s="9">
        <f>B6+D6+F6</f>
        <v>7.4816619100000006</v>
      </c>
      <c r="I6" s="10"/>
    </row>
    <row r="7" spans="1:24" ht="15.6" thickTop="1" thickBot="1" x14ac:dyDescent="0.35">
      <c r="A7" s="8"/>
      <c r="H7" s="9"/>
      <c r="I7" s="10"/>
    </row>
    <row r="8" spans="1:24" ht="15.6" thickTop="1" thickBot="1" x14ac:dyDescent="0.35">
      <c r="A8" s="8" t="s">
        <v>2</v>
      </c>
      <c r="B8">
        <v>2.4916596499999999</v>
      </c>
      <c r="D8">
        <v>2.4958139199999998</v>
      </c>
      <c r="F8">
        <v>2.49418834</v>
      </c>
      <c r="H8" s="9">
        <f t="shared" ref="H8:H10" si="0">B8+D8+F8</f>
        <v>7.4816619099999997</v>
      </c>
      <c r="I8" s="10"/>
      <c r="K8" s="1" t="s">
        <v>21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6" thickTop="1" thickBot="1" x14ac:dyDescent="0.35">
      <c r="A9" s="8"/>
      <c r="H9" s="9"/>
      <c r="I9" s="10"/>
      <c r="K9" s="1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6" thickTop="1" thickBot="1" x14ac:dyDescent="0.35">
      <c r="A10" s="8" t="s">
        <v>3</v>
      </c>
      <c r="B10">
        <v>2.49310462</v>
      </c>
      <c r="D10">
        <v>2.49310462</v>
      </c>
      <c r="F10">
        <v>2.4954526800000001</v>
      </c>
      <c r="H10" s="9">
        <f t="shared" si="0"/>
        <v>7.4816619200000005</v>
      </c>
      <c r="I10" s="10"/>
      <c r="K10" s="1" t="s">
        <v>12</v>
      </c>
      <c r="L10" s="1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Top="1" x14ac:dyDescent="0.3">
      <c r="A11" s="8"/>
      <c r="I11" s="10"/>
    </row>
    <row r="12" spans="1:24" x14ac:dyDescent="0.3">
      <c r="A12" s="8"/>
      <c r="I12" s="10"/>
    </row>
    <row r="13" spans="1:24" x14ac:dyDescent="0.3">
      <c r="A13" s="8"/>
      <c r="I13" s="10"/>
      <c r="M13" t="s">
        <v>15</v>
      </c>
    </row>
    <row r="14" spans="1:24" x14ac:dyDescent="0.3">
      <c r="A14" s="8"/>
      <c r="I14" s="10"/>
    </row>
    <row r="15" spans="1:24" x14ac:dyDescent="0.3">
      <c r="A15" s="8"/>
      <c r="D15" t="s">
        <v>6</v>
      </c>
      <c r="I15" s="10"/>
      <c r="L15" s="4" t="s">
        <v>13</v>
      </c>
      <c r="M15" s="4"/>
      <c r="N15" s="4"/>
      <c r="O15" s="4"/>
      <c r="P15" s="4"/>
      <c r="Q15" s="4"/>
      <c r="R15" s="4"/>
      <c r="S15" s="4"/>
    </row>
    <row r="16" spans="1:24" x14ac:dyDescent="0.3">
      <c r="A16" s="8"/>
      <c r="I16" s="10"/>
      <c r="L16" s="4"/>
      <c r="M16" s="4" t="s">
        <v>14</v>
      </c>
      <c r="N16" s="4"/>
      <c r="O16" s="4"/>
      <c r="P16" s="4"/>
      <c r="Q16" s="4"/>
      <c r="R16" s="4"/>
      <c r="S16" s="4"/>
    </row>
    <row r="17" spans="1:14" ht="15" thickBot="1" x14ac:dyDescent="0.35">
      <c r="A17" s="8"/>
      <c r="H17" s="9" t="s">
        <v>5</v>
      </c>
      <c r="I17" s="10"/>
    </row>
    <row r="18" spans="1:14" ht="15.6" thickTop="1" thickBot="1" x14ac:dyDescent="0.35">
      <c r="A18" s="8" t="s">
        <v>0</v>
      </c>
      <c r="B18">
        <v>2.90975E-3</v>
      </c>
      <c r="D18">
        <v>1.206515E-2</v>
      </c>
      <c r="F18">
        <v>0.11070112999999999</v>
      </c>
      <c r="H18" s="9">
        <f>B18+D18+F18</f>
        <v>0.12567602999999999</v>
      </c>
      <c r="I18" s="10"/>
    </row>
    <row r="19" spans="1:14" ht="15.6" thickTop="1" thickBot="1" x14ac:dyDescent="0.35">
      <c r="A19" s="8"/>
      <c r="H19" s="9"/>
      <c r="I19" s="10"/>
    </row>
    <row r="20" spans="1:14" ht="15.6" thickTop="1" thickBot="1" x14ac:dyDescent="0.35">
      <c r="A20" s="8" t="s">
        <v>1</v>
      </c>
      <c r="B20">
        <v>6.4980479999999993E-2</v>
      </c>
      <c r="D20">
        <v>3.9530419999999997E-2</v>
      </c>
      <c r="F20">
        <v>2.1165119999999999E-2</v>
      </c>
      <c r="H20" s="9">
        <f t="shared" ref="H20:H24" si="1">B20+D20+F20</f>
        <v>0.12567602</v>
      </c>
      <c r="I20" s="10"/>
    </row>
    <row r="21" spans="1:14" ht="15.6" thickTop="1" thickBot="1" x14ac:dyDescent="0.35">
      <c r="A21" s="8"/>
      <c r="H21" s="9"/>
      <c r="I21" s="10"/>
      <c r="K21" s="16" t="s">
        <v>19</v>
      </c>
      <c r="L21" s="16">
        <f>H31+H71+S71</f>
        <v>0.75119878000000007</v>
      </c>
      <c r="N21" t="s">
        <v>20</v>
      </c>
    </row>
    <row r="22" spans="1:14" ht="15.6" thickTop="1" thickBot="1" x14ac:dyDescent="0.35">
      <c r="A22" s="8" t="s">
        <v>2</v>
      </c>
      <c r="B22">
        <v>9.1312200000000007E-3</v>
      </c>
      <c r="D22">
        <v>2.8682010000000001E-2</v>
      </c>
      <c r="F22">
        <v>8.7862800000000005E-2</v>
      </c>
      <c r="H22" s="9">
        <f t="shared" si="1"/>
        <v>0.12567602999999999</v>
      </c>
      <c r="I22" s="10"/>
    </row>
    <row r="23" spans="1:14" ht="15.6" thickTop="1" thickBot="1" x14ac:dyDescent="0.35">
      <c r="A23" s="8"/>
      <c r="H23" s="9"/>
      <c r="I23" s="10"/>
      <c r="K23" s="16" t="s">
        <v>6</v>
      </c>
      <c r="L23" s="16">
        <f>H20+H60+S60</f>
        <v>1.1986745600000002</v>
      </c>
      <c r="N23" t="s">
        <v>24</v>
      </c>
    </row>
    <row r="24" spans="1:14" ht="15.6" thickTop="1" thickBot="1" x14ac:dyDescent="0.35">
      <c r="A24" s="8" t="s">
        <v>3</v>
      </c>
      <c r="B24">
        <v>2.1993990000000001E-2</v>
      </c>
      <c r="D24">
        <v>5.2099840000000001E-2</v>
      </c>
      <c r="F24">
        <v>5.158219E-2</v>
      </c>
      <c r="H24" s="9">
        <f t="shared" si="1"/>
        <v>0.12567602</v>
      </c>
      <c r="I24" s="10"/>
    </row>
    <row r="25" spans="1:14" ht="15" thickTop="1" x14ac:dyDescent="0.3">
      <c r="A25" s="8"/>
      <c r="I25" s="10"/>
    </row>
    <row r="26" spans="1:14" x14ac:dyDescent="0.3">
      <c r="A26" s="8"/>
      <c r="I26" s="10"/>
    </row>
    <row r="27" spans="1:14" x14ac:dyDescent="0.3">
      <c r="A27" s="8"/>
      <c r="I27" s="10"/>
    </row>
    <row r="28" spans="1:14" x14ac:dyDescent="0.3">
      <c r="A28" s="8"/>
      <c r="I28" s="10"/>
    </row>
    <row r="29" spans="1:14" x14ac:dyDescent="0.3">
      <c r="A29" s="8"/>
      <c r="D29" t="s">
        <v>7</v>
      </c>
      <c r="I29" s="10"/>
    </row>
    <row r="30" spans="1:14" ht="15" thickBot="1" x14ac:dyDescent="0.35">
      <c r="A30" s="8"/>
      <c r="H30" s="9" t="s">
        <v>5</v>
      </c>
      <c r="I30" s="10"/>
    </row>
    <row r="31" spans="1:14" ht="15.6" thickTop="1" thickBot="1" x14ac:dyDescent="0.35">
      <c r="A31" s="8" t="s">
        <v>0</v>
      </c>
      <c r="B31">
        <v>3.8861670000000001E-2</v>
      </c>
      <c r="D31">
        <v>5.0857630000000001E-2</v>
      </c>
      <c r="F31">
        <v>8.163173E-2</v>
      </c>
      <c r="H31" s="9">
        <f>B31+D31+F31</f>
        <v>0.17135103000000002</v>
      </c>
      <c r="I31" s="10"/>
    </row>
    <row r="32" spans="1:14" ht="15.6" thickTop="1" thickBot="1" x14ac:dyDescent="0.35">
      <c r="A32" s="8"/>
      <c r="H32" s="9"/>
      <c r="I32" s="10"/>
    </row>
    <row r="33" spans="1:21" ht="15.6" thickTop="1" thickBot="1" x14ac:dyDescent="0.35">
      <c r="A33" s="8" t="s">
        <v>1</v>
      </c>
      <c r="B33">
        <v>7.5869339999999993E-2</v>
      </c>
      <c r="D33">
        <v>5.9577909999999998E-2</v>
      </c>
      <c r="F33">
        <v>3.5903780000000003E-2</v>
      </c>
      <c r="H33" s="9">
        <f>B33+D33+F33</f>
        <v>0.17135102999999999</v>
      </c>
      <c r="I33" s="10"/>
    </row>
    <row r="34" spans="1:21" ht="15.6" thickTop="1" thickBot="1" x14ac:dyDescent="0.35">
      <c r="A34" s="8"/>
      <c r="H34" s="9"/>
      <c r="I34" s="10"/>
    </row>
    <row r="35" spans="1:21" ht="15.6" thickTop="1" thickBot="1" x14ac:dyDescent="0.35">
      <c r="A35" s="8" t="s">
        <v>2</v>
      </c>
      <c r="B35">
        <v>9.8392600000000007E-3</v>
      </c>
      <c r="D35">
        <v>2.706658E-2</v>
      </c>
      <c r="F35">
        <v>0.13444518999999999</v>
      </c>
      <c r="H35" s="9">
        <f>B35+D35+F35</f>
        <v>0.17135102999999999</v>
      </c>
      <c r="I35" s="10"/>
    </row>
    <row r="36" spans="1:21" ht="15" customHeight="1" thickTop="1" thickBot="1" x14ac:dyDescent="0.35">
      <c r="A36" s="8"/>
      <c r="H36" s="9"/>
      <c r="I36" s="10"/>
    </row>
    <row r="37" spans="1:21" ht="15.6" thickTop="1" thickBot="1" x14ac:dyDescent="0.35">
      <c r="A37" s="8" t="s">
        <v>3</v>
      </c>
      <c r="B37">
        <v>3.433899E-2</v>
      </c>
      <c r="D37">
        <v>7.7295169999999996E-2</v>
      </c>
      <c r="F37">
        <v>5.9716869999999998E-2</v>
      </c>
      <c r="H37" s="9">
        <f t="shared" ref="H37" si="2">B37+D37+F37</f>
        <v>0.17135102999999999</v>
      </c>
      <c r="I37" s="10"/>
    </row>
    <row r="38" spans="1:21" ht="15.6" thickTop="1" thickBot="1" x14ac:dyDescent="0.35">
      <c r="A38" s="8"/>
      <c r="H38" s="9"/>
      <c r="I38" s="10"/>
    </row>
    <row r="39" spans="1:21" ht="15.6" thickTop="1" thickBot="1" x14ac:dyDescent="0.35">
      <c r="A39" s="11"/>
      <c r="B39" s="12"/>
      <c r="C39" s="12"/>
      <c r="D39" s="12"/>
      <c r="E39" s="12"/>
      <c r="F39" s="12"/>
      <c r="G39" s="12"/>
      <c r="H39" s="12"/>
      <c r="I39" s="13"/>
    </row>
    <row r="41" spans="1:21" ht="15" thickBot="1" x14ac:dyDescent="0.35"/>
    <row r="42" spans="1:21" x14ac:dyDescent="0.3">
      <c r="A42" s="5"/>
      <c r="B42" s="6"/>
      <c r="C42" s="6"/>
      <c r="D42" s="6" t="s">
        <v>4</v>
      </c>
      <c r="E42" s="6"/>
      <c r="F42" s="6"/>
      <c r="G42" s="6"/>
      <c r="H42" s="6"/>
      <c r="I42" s="7"/>
      <c r="J42" s="15" t="s">
        <v>17</v>
      </c>
      <c r="L42" s="5"/>
      <c r="M42" s="6"/>
      <c r="N42" s="6"/>
      <c r="O42" s="6" t="s">
        <v>4</v>
      </c>
      <c r="P42" s="6"/>
      <c r="Q42" s="6"/>
      <c r="R42" s="6"/>
      <c r="S42" s="6"/>
      <c r="T42" s="7"/>
      <c r="U42" s="14" t="s">
        <v>18</v>
      </c>
    </row>
    <row r="43" spans="1:21" ht="15" thickBot="1" x14ac:dyDescent="0.35">
      <c r="A43" s="8"/>
      <c r="H43" s="9" t="s">
        <v>5</v>
      </c>
      <c r="I43" s="10"/>
      <c r="L43" s="8"/>
      <c r="S43" s="9" t="s">
        <v>5</v>
      </c>
      <c r="T43" s="10"/>
    </row>
    <row r="44" spans="1:21" ht="15.6" thickTop="1" thickBot="1" x14ac:dyDescent="0.35">
      <c r="A44" s="8" t="s">
        <v>0</v>
      </c>
      <c r="B44">
        <v>5.9223602199999998</v>
      </c>
      <c r="D44">
        <v>5.9223602199999998</v>
      </c>
      <c r="F44">
        <v>5.9223602199999998</v>
      </c>
      <c r="H44" s="3">
        <f>B44+D44+F44</f>
        <v>17.767080659999998</v>
      </c>
      <c r="I44" s="10"/>
      <c r="L44" s="8" t="s">
        <v>0</v>
      </c>
      <c r="M44">
        <v>4.95477115</v>
      </c>
      <c r="O44">
        <v>4.9549807100000001</v>
      </c>
      <c r="Q44">
        <v>4.9549807100000001</v>
      </c>
      <c r="S44" s="3">
        <f>M44+O44+Q44</f>
        <v>14.864732570000001</v>
      </c>
      <c r="T44" s="10"/>
    </row>
    <row r="45" spans="1:21" ht="15.6" thickTop="1" thickBot="1" x14ac:dyDescent="0.35">
      <c r="A45" s="8"/>
      <c r="H45" s="9"/>
      <c r="I45" s="10"/>
      <c r="L45" s="8"/>
      <c r="S45" s="9"/>
      <c r="T45" s="10"/>
    </row>
    <row r="46" spans="1:21" ht="15.6" thickTop="1" thickBot="1" x14ac:dyDescent="0.35">
      <c r="A46" s="8" t="s">
        <v>1</v>
      </c>
      <c r="B46">
        <v>5.9210014700000002</v>
      </c>
      <c r="D46">
        <v>5.92032209</v>
      </c>
      <c r="F46">
        <v>5.9257571100000002</v>
      </c>
      <c r="H46" s="9">
        <f>B46+D46+F46</f>
        <v>17.767080669999999</v>
      </c>
      <c r="I46" s="10"/>
      <c r="L46" s="8" t="s">
        <v>1</v>
      </c>
      <c r="M46">
        <v>4.9505798299999997</v>
      </c>
      <c r="O46">
        <v>4.9585433400000003</v>
      </c>
      <c r="Q46">
        <v>4.9556094100000001</v>
      </c>
      <c r="S46" s="9">
        <f>M46+O46+Q46</f>
        <v>14.864732580000002</v>
      </c>
      <c r="T46" s="10"/>
    </row>
    <row r="47" spans="1:21" ht="15.6" thickTop="1" thickBot="1" x14ac:dyDescent="0.35">
      <c r="A47" s="8"/>
      <c r="H47" s="9"/>
      <c r="I47" s="10"/>
      <c r="L47" s="8"/>
      <c r="S47" s="9"/>
      <c r="T47" s="10"/>
    </row>
    <row r="48" spans="1:21" ht="15.6" thickTop="1" thickBot="1" x14ac:dyDescent="0.35">
      <c r="A48" s="8" t="s">
        <v>2</v>
      </c>
      <c r="B48">
        <v>5.9216808500000004</v>
      </c>
      <c r="D48">
        <v>5.91715166</v>
      </c>
      <c r="F48">
        <v>5.9282481599999999</v>
      </c>
      <c r="H48" s="9">
        <f t="shared" ref="H48" si="3">B48+D48+F48</f>
        <v>17.767080669999999</v>
      </c>
      <c r="I48" s="10"/>
      <c r="L48" s="8" t="s">
        <v>2</v>
      </c>
      <c r="M48">
        <v>4.95477115</v>
      </c>
      <c r="O48">
        <v>4.9549807100000001</v>
      </c>
      <c r="Q48">
        <v>4.9549807100000001</v>
      </c>
      <c r="S48" s="9">
        <f t="shared" ref="S48" si="4">M48+O48+Q48</f>
        <v>14.864732570000001</v>
      </c>
      <c r="T48" s="10"/>
    </row>
    <row r="49" spans="1:20" ht="15.6" thickTop="1" thickBot="1" x14ac:dyDescent="0.35">
      <c r="A49" s="8"/>
      <c r="H49" s="9"/>
      <c r="I49" s="10"/>
      <c r="L49" s="8"/>
      <c r="S49" s="9"/>
      <c r="T49" s="10"/>
    </row>
    <row r="50" spans="1:20" ht="15.6" thickTop="1" thickBot="1" x14ac:dyDescent="0.35">
      <c r="A50" s="8" t="s">
        <v>3</v>
      </c>
      <c r="B50">
        <v>5.9223602199999998</v>
      </c>
      <c r="D50">
        <v>5.9221337700000003</v>
      </c>
      <c r="F50">
        <v>5.9225866800000002</v>
      </c>
      <c r="H50" s="9">
        <f t="shared" ref="H50" si="5">B50+D50+F50</f>
        <v>17.767080669999999</v>
      </c>
      <c r="I50" s="10"/>
      <c r="L50" s="8" t="s">
        <v>3</v>
      </c>
      <c r="M50">
        <v>4.95393288</v>
      </c>
      <c r="O50">
        <v>4.8939969799999998</v>
      </c>
      <c r="Q50">
        <v>5.0168027100000003</v>
      </c>
      <c r="S50" s="9">
        <f t="shared" ref="S50" si="6">M50+O50+Q50</f>
        <v>14.864732570000001</v>
      </c>
      <c r="T50" s="10"/>
    </row>
    <row r="51" spans="1:20" ht="15" thickTop="1" x14ac:dyDescent="0.3">
      <c r="A51" s="8"/>
      <c r="I51" s="10"/>
      <c r="L51" s="8"/>
      <c r="T51" s="10"/>
    </row>
    <row r="52" spans="1:20" x14ac:dyDescent="0.3">
      <c r="A52" s="8"/>
      <c r="I52" s="10"/>
      <c r="L52" s="8"/>
      <c r="T52" s="10"/>
    </row>
    <row r="53" spans="1:20" x14ac:dyDescent="0.3">
      <c r="A53" s="8"/>
      <c r="I53" s="10"/>
      <c r="L53" s="8"/>
      <c r="T53" s="10"/>
    </row>
    <row r="54" spans="1:20" x14ac:dyDescent="0.3">
      <c r="A54" s="8"/>
      <c r="I54" s="10"/>
      <c r="L54" s="8"/>
      <c r="T54" s="10"/>
    </row>
    <row r="55" spans="1:20" x14ac:dyDescent="0.3">
      <c r="A55" s="8"/>
      <c r="D55" t="s">
        <v>6</v>
      </c>
      <c r="I55" s="10"/>
      <c r="L55" s="8"/>
      <c r="O55" t="s">
        <v>6</v>
      </c>
      <c r="T55" s="10"/>
    </row>
    <row r="56" spans="1:20" x14ac:dyDescent="0.3">
      <c r="A56" s="8"/>
      <c r="I56" s="10"/>
      <c r="L56" s="8"/>
      <c r="T56" s="10"/>
    </row>
    <row r="57" spans="1:20" ht="15" thickBot="1" x14ac:dyDescent="0.35">
      <c r="A57" s="8"/>
      <c r="H57" s="9" t="s">
        <v>5</v>
      </c>
      <c r="I57" s="10"/>
      <c r="L57" s="8"/>
      <c r="S57" s="9" t="s">
        <v>5</v>
      </c>
      <c r="T57" s="10"/>
    </row>
    <row r="58" spans="1:20" ht="15.6" thickTop="1" thickBot="1" x14ac:dyDescent="0.35">
      <c r="A58" s="8" t="s">
        <v>0</v>
      </c>
      <c r="B58">
        <v>7.92408E-3</v>
      </c>
      <c r="D58">
        <v>4.3417530000000003E-2</v>
      </c>
      <c r="F58">
        <v>0.49730444000000001</v>
      </c>
      <c r="H58" s="9">
        <f>B58+D58+F58</f>
        <v>0.54864605</v>
      </c>
      <c r="I58" s="10"/>
      <c r="L58" s="8" t="s">
        <v>0</v>
      </c>
      <c r="M58">
        <v>1.048458E-2</v>
      </c>
      <c r="O58">
        <v>4.4385979999999998E-2</v>
      </c>
      <c r="Q58">
        <v>0.46948192</v>
      </c>
      <c r="S58" s="9">
        <f>M58+O58+Q58</f>
        <v>0.52435248000000001</v>
      </c>
      <c r="T58" s="10"/>
    </row>
    <row r="59" spans="1:20" ht="15.6" thickTop="1" thickBot="1" x14ac:dyDescent="0.35">
      <c r="A59" s="8"/>
      <c r="H59" s="9"/>
      <c r="I59" s="10"/>
      <c r="L59" s="8"/>
      <c r="S59" s="9"/>
      <c r="T59" s="10"/>
    </row>
    <row r="60" spans="1:20" ht="15.6" thickTop="1" thickBot="1" x14ac:dyDescent="0.35">
      <c r="A60" s="8" t="s">
        <v>1</v>
      </c>
      <c r="B60">
        <v>0.29905646000000002</v>
      </c>
      <c r="D60">
        <v>0.16392193999999999</v>
      </c>
      <c r="F60">
        <v>8.5667649999999998E-2</v>
      </c>
      <c r="H60" s="9">
        <f t="shared" ref="H60" si="7">B60+D60+F60</f>
        <v>0.54864605</v>
      </c>
      <c r="I60" s="10"/>
      <c r="L60" s="8" t="s">
        <v>1</v>
      </c>
      <c r="M60">
        <v>0.26039654000000001</v>
      </c>
      <c r="O60">
        <v>0.16714308</v>
      </c>
      <c r="Q60">
        <v>9.6812869999999995E-2</v>
      </c>
      <c r="S60" s="9">
        <f t="shared" ref="S60" si="8">M60+O60+Q60</f>
        <v>0.52435249000000006</v>
      </c>
      <c r="T60" s="10"/>
    </row>
    <row r="61" spans="1:20" ht="15.6" thickTop="1" thickBot="1" x14ac:dyDescent="0.35">
      <c r="A61" s="8"/>
      <c r="H61" s="9"/>
      <c r="I61" s="10"/>
      <c r="L61" s="8"/>
      <c r="S61" s="9"/>
      <c r="T61" s="10"/>
    </row>
    <row r="62" spans="1:20" ht="15.6" thickTop="1" thickBot="1" x14ac:dyDescent="0.35">
      <c r="A62" s="8" t="s">
        <v>2</v>
      </c>
      <c r="B62">
        <v>4.1184470000000001E-2</v>
      </c>
      <c r="D62">
        <v>0.11973982</v>
      </c>
      <c r="F62">
        <v>0.38772176000000003</v>
      </c>
      <c r="H62" s="9">
        <f t="shared" ref="H62" si="9">B62+D62+F62</f>
        <v>0.54864605</v>
      </c>
      <c r="I62" s="10"/>
      <c r="L62" s="8" t="s">
        <v>2</v>
      </c>
      <c r="M62">
        <v>3.0603789999999999E-2</v>
      </c>
      <c r="O62">
        <v>0.1050927</v>
      </c>
      <c r="Q62">
        <v>0.38865599000000001</v>
      </c>
      <c r="S62" s="9">
        <f t="shared" ref="S62" si="10">M62+O62+Q62</f>
        <v>0.52435248000000001</v>
      </c>
      <c r="T62" s="10"/>
    </row>
    <row r="63" spans="1:20" ht="15.6" thickTop="1" thickBot="1" x14ac:dyDescent="0.35">
      <c r="A63" s="8"/>
      <c r="H63" s="9"/>
      <c r="I63" s="10"/>
      <c r="L63" s="8"/>
      <c r="S63" s="9"/>
      <c r="T63" s="10"/>
    </row>
    <row r="64" spans="1:20" ht="15.6" thickTop="1" thickBot="1" x14ac:dyDescent="0.35">
      <c r="A64" s="8" t="s">
        <v>3</v>
      </c>
      <c r="B64">
        <v>6.3950389999999996E-2</v>
      </c>
      <c r="D64">
        <v>0.20814682000000001</v>
      </c>
      <c r="F64">
        <v>0.27654884000000002</v>
      </c>
      <c r="H64" s="9">
        <f t="shared" ref="H64" si="11">B64+D64+F64</f>
        <v>0.54864605</v>
      </c>
      <c r="I64" s="10"/>
      <c r="L64" s="8" t="s">
        <v>3</v>
      </c>
      <c r="M64">
        <v>0.11820608000000001</v>
      </c>
      <c r="O64">
        <v>0.20221644999999999</v>
      </c>
      <c r="Q64">
        <v>0.20392994</v>
      </c>
      <c r="S64" s="9">
        <f t="shared" ref="S64" si="12">M64+O64+Q64</f>
        <v>0.52435246999999996</v>
      </c>
      <c r="T64" s="10"/>
    </row>
    <row r="65" spans="1:20" ht="15" thickTop="1" x14ac:dyDescent="0.3">
      <c r="A65" s="8"/>
      <c r="I65" s="10"/>
      <c r="L65" s="8"/>
      <c r="T65" s="10"/>
    </row>
    <row r="66" spans="1:20" x14ac:dyDescent="0.3">
      <c r="A66" s="8"/>
      <c r="I66" s="10"/>
      <c r="L66" s="8"/>
      <c r="T66" s="10"/>
    </row>
    <row r="67" spans="1:20" x14ac:dyDescent="0.3">
      <c r="A67" s="8"/>
      <c r="I67" s="10"/>
      <c r="L67" s="8"/>
      <c r="T67" s="10"/>
    </row>
    <row r="68" spans="1:20" x14ac:dyDescent="0.3">
      <c r="A68" s="8"/>
      <c r="I68" s="10"/>
      <c r="L68" s="8"/>
      <c r="T68" s="10"/>
    </row>
    <row r="69" spans="1:20" x14ac:dyDescent="0.3">
      <c r="A69" s="8"/>
      <c r="D69" t="s">
        <v>7</v>
      </c>
      <c r="I69" s="10"/>
      <c r="L69" s="8"/>
      <c r="O69" t="s">
        <v>7</v>
      </c>
      <c r="T69" s="10"/>
    </row>
    <row r="70" spans="1:20" ht="15" thickBot="1" x14ac:dyDescent="0.35">
      <c r="A70" s="8"/>
      <c r="H70" s="9" t="s">
        <v>5</v>
      </c>
      <c r="I70" s="10"/>
      <c r="L70" s="8"/>
      <c r="S70" s="9" t="s">
        <v>5</v>
      </c>
      <c r="T70" s="10"/>
    </row>
    <row r="71" spans="1:20" ht="15.6" thickTop="1" thickBot="1" x14ac:dyDescent="0.35">
      <c r="A71" s="8" t="s">
        <v>0</v>
      </c>
      <c r="B71">
        <v>5.6490369999999998E-2</v>
      </c>
      <c r="D71">
        <v>0.11052093</v>
      </c>
      <c r="F71">
        <v>0.23829177000000001</v>
      </c>
      <c r="H71" s="9">
        <f>B71+D71+F71</f>
        <v>0.40530306999999999</v>
      </c>
      <c r="I71" s="10"/>
      <c r="L71" s="8" t="s">
        <v>0</v>
      </c>
      <c r="M71">
        <v>3.282496E-2</v>
      </c>
      <c r="O71">
        <v>4.9549450000000002E-2</v>
      </c>
      <c r="Q71">
        <v>9.2170269999999999E-2</v>
      </c>
      <c r="S71" s="9">
        <f>M71+O71+Q71</f>
        <v>0.17454468000000001</v>
      </c>
      <c r="T71" s="10"/>
    </row>
    <row r="72" spans="1:20" ht="15.6" thickTop="1" thickBot="1" x14ac:dyDescent="0.35">
      <c r="A72" s="8"/>
      <c r="H72" s="9"/>
      <c r="I72" s="10"/>
      <c r="L72" s="8"/>
      <c r="S72" s="9"/>
      <c r="T72" s="10"/>
    </row>
    <row r="73" spans="1:20" ht="15.6" thickTop="1" thickBot="1" x14ac:dyDescent="0.35">
      <c r="A73" s="8" t="s">
        <v>1</v>
      </c>
      <c r="B73">
        <v>0.20354170999999999</v>
      </c>
      <c r="D73">
        <v>0.12337386</v>
      </c>
      <c r="F73">
        <v>7.8387499999999999E-2</v>
      </c>
      <c r="H73" s="9">
        <f>B73+D73+F73</f>
        <v>0.40530306999999999</v>
      </c>
      <c r="I73" s="10"/>
      <c r="L73" s="8" t="s">
        <v>1</v>
      </c>
      <c r="M73">
        <v>7.5542559999999995E-2</v>
      </c>
      <c r="O73">
        <v>5.9658549999999998E-2</v>
      </c>
      <c r="Q73">
        <v>3.9343570000000001E-2</v>
      </c>
      <c r="S73" s="9">
        <f>M73+O73+Q73</f>
        <v>0.17454467999999998</v>
      </c>
      <c r="T73" s="10"/>
    </row>
    <row r="74" spans="1:20" ht="15.6" thickTop="1" thickBot="1" x14ac:dyDescent="0.35">
      <c r="A74" s="8"/>
      <c r="H74" s="9"/>
      <c r="I74" s="10"/>
      <c r="L74" s="8"/>
      <c r="S74" s="9"/>
      <c r="T74" s="10"/>
    </row>
    <row r="75" spans="1:20" ht="15.6" thickTop="1" thickBot="1" x14ac:dyDescent="0.35">
      <c r="A75" s="8" t="s">
        <v>2</v>
      </c>
      <c r="B75">
        <v>2.529197E-2</v>
      </c>
      <c r="D75">
        <v>6.2180649999999997E-2</v>
      </c>
      <c r="F75">
        <v>0.31783043999999999</v>
      </c>
      <c r="H75" s="9">
        <f>B75+D75+F75</f>
        <v>0.40530305999999999</v>
      </c>
      <c r="I75" s="10"/>
      <c r="L75" s="8" t="s">
        <v>2</v>
      </c>
      <c r="M75">
        <v>7.6836099999999996E-3</v>
      </c>
      <c r="O75">
        <v>2.8068010000000001E-2</v>
      </c>
      <c r="Q75">
        <v>0.13879306999999999</v>
      </c>
      <c r="S75" s="9">
        <f>M75+O75+Q75</f>
        <v>0.17454469</v>
      </c>
      <c r="T75" s="10"/>
    </row>
    <row r="76" spans="1:20" ht="15.6" thickTop="1" thickBot="1" x14ac:dyDescent="0.35">
      <c r="A76" s="8"/>
      <c r="H76" s="9"/>
      <c r="I76" s="10"/>
      <c r="L76" s="8"/>
      <c r="S76" s="9"/>
      <c r="T76" s="10"/>
    </row>
    <row r="77" spans="1:20" ht="15.6" thickTop="1" thickBot="1" x14ac:dyDescent="0.35">
      <c r="A77" s="8" t="s">
        <v>3</v>
      </c>
      <c r="B77">
        <v>6.7135399999999998E-2</v>
      </c>
      <c r="D77">
        <v>0.16643473</v>
      </c>
      <c r="F77">
        <v>0.17173293000000001</v>
      </c>
      <c r="H77" s="9">
        <f t="shared" ref="H77" si="13">B77+D77+F77</f>
        <v>0.40530305999999999</v>
      </c>
      <c r="I77" s="10"/>
      <c r="L77" s="8" t="s">
        <v>3</v>
      </c>
      <c r="M77">
        <v>4.9504739999999998E-2</v>
      </c>
      <c r="O77">
        <v>7.0791450000000006E-2</v>
      </c>
      <c r="Q77">
        <v>5.4248490000000003E-2</v>
      </c>
      <c r="S77" s="9">
        <f t="shared" ref="S77" si="14">M77+O77+Q77</f>
        <v>0.17454468000000001</v>
      </c>
      <c r="T77" s="10"/>
    </row>
    <row r="78" spans="1:20" ht="15.6" thickTop="1" thickBot="1" x14ac:dyDescent="0.35">
      <c r="A78" s="8"/>
      <c r="H78" s="9"/>
      <c r="I78" s="10"/>
      <c r="L78" s="8"/>
      <c r="S78" s="9"/>
      <c r="T78" s="10"/>
    </row>
    <row r="79" spans="1:20" ht="15.6" thickTop="1" thickBot="1" x14ac:dyDescent="0.35">
      <c r="A79" s="11"/>
      <c r="B79" s="12"/>
      <c r="C79" s="12"/>
      <c r="D79" s="12"/>
      <c r="E79" s="12"/>
      <c r="F79" s="12"/>
      <c r="G79" s="12"/>
      <c r="H79" s="12"/>
      <c r="I79" s="13"/>
      <c r="L79" s="11"/>
      <c r="M79" s="12"/>
      <c r="N79" s="12"/>
      <c r="O79" s="12"/>
      <c r="P79" s="12"/>
      <c r="Q79" s="12"/>
      <c r="R79" s="12"/>
      <c r="S79" s="12"/>
      <c r="T79" s="13"/>
    </row>
    <row r="82" spans="2:20" x14ac:dyDescent="0.3">
      <c r="C82" s="18"/>
      <c r="D82" s="18"/>
      <c r="E82" s="18"/>
      <c r="F82" s="18"/>
      <c r="G82" s="19" t="s">
        <v>25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4" spans="2:20" x14ac:dyDescent="0.3">
      <c r="D84" t="s">
        <v>16</v>
      </c>
    </row>
    <row r="85" spans="2:20" ht="15" thickBot="1" x14ac:dyDescent="0.35">
      <c r="H85" s="9" t="s">
        <v>5</v>
      </c>
    </row>
    <row r="86" spans="2:20" ht="15.6" thickTop="1" thickBot="1" x14ac:dyDescent="0.35">
      <c r="B86">
        <v>1.25817345496009</v>
      </c>
      <c r="D86">
        <v>1.40350855451347</v>
      </c>
      <c r="F86">
        <v>0.56889200105191695</v>
      </c>
      <c r="H86" s="9">
        <f>B86+D86+F86</f>
        <v>3.2305740105254772</v>
      </c>
      <c r="L86" t="s">
        <v>26</v>
      </c>
    </row>
    <row r="87" spans="2:20" ht="15.6" thickTop="1" thickBot="1" x14ac:dyDescent="0.35">
      <c r="H87" s="9">
        <f t="shared" ref="H87:H92" si="15">B87+D87+F87</f>
        <v>0</v>
      </c>
    </row>
    <row r="88" spans="2:20" ht="15.6" thickTop="1" thickBot="1" x14ac:dyDescent="0.35">
      <c r="B88">
        <v>1.6300130894735601</v>
      </c>
      <c r="D88">
        <v>1.02919570147967</v>
      </c>
      <c r="F88">
        <v>0.57136521957223596</v>
      </c>
      <c r="H88" s="9">
        <f t="shared" si="15"/>
        <v>3.2305740105254661</v>
      </c>
    </row>
    <row r="89" spans="2:20" ht="15.6" thickTop="1" thickBot="1" x14ac:dyDescent="0.35">
      <c r="H89" s="9">
        <f t="shared" si="15"/>
        <v>0</v>
      </c>
    </row>
    <row r="90" spans="2:20" ht="15.6" thickTop="1" thickBot="1" x14ac:dyDescent="0.35">
      <c r="B90">
        <v>0.21826300029579801</v>
      </c>
      <c r="D90">
        <v>0.68752402681616198</v>
      </c>
      <c r="F90">
        <v>2.3247869834135102</v>
      </c>
      <c r="H90" s="9">
        <f t="shared" si="15"/>
        <v>3.2305740105254701</v>
      </c>
    </row>
    <row r="91" spans="2:20" ht="15.6" thickTop="1" thickBot="1" x14ac:dyDescent="0.35">
      <c r="H91" s="9">
        <f t="shared" si="15"/>
        <v>0</v>
      </c>
    </row>
    <row r="92" spans="2:20" ht="15.6" thickTop="1" thickBot="1" x14ac:dyDescent="0.35">
      <c r="B92">
        <v>0.53379279955297099</v>
      </c>
      <c r="D92">
        <v>1.17970662124251</v>
      </c>
      <c r="F92">
        <v>1.51707458972998</v>
      </c>
      <c r="H92" s="9">
        <f t="shared" si="15"/>
        <v>3.2305740105254612</v>
      </c>
    </row>
    <row r="93" spans="2:20" ht="15" thickTop="1" x14ac:dyDescent="0.3"/>
    <row r="94" spans="2:20" x14ac:dyDescent="0.3">
      <c r="D94" t="s">
        <v>17</v>
      </c>
    </row>
    <row r="95" spans="2:20" ht="15" thickBot="1" x14ac:dyDescent="0.35">
      <c r="H95" s="9" t="s">
        <v>5</v>
      </c>
    </row>
    <row r="96" spans="2:20" ht="15.6" thickTop="1" thickBot="1" x14ac:dyDescent="0.35">
      <c r="B96">
        <v>1.7285106077296399</v>
      </c>
      <c r="D96">
        <v>2.87167280910964</v>
      </c>
      <c r="F96">
        <v>1.3572901064701299</v>
      </c>
      <c r="H96" s="9">
        <f>B96+D96+F96</f>
        <v>5.9574735233094103</v>
      </c>
    </row>
    <row r="97" spans="2:8" ht="15.6" thickTop="1" thickBot="1" x14ac:dyDescent="0.35">
      <c r="H97" s="9">
        <f t="shared" ref="H97:H102" si="16">B97+D97+F97</f>
        <v>0</v>
      </c>
    </row>
    <row r="98" spans="2:8" ht="15.6" thickTop="1" thickBot="1" x14ac:dyDescent="0.35">
      <c r="B98">
        <v>3.1759685213008</v>
      </c>
      <c r="D98">
        <v>1.80779159405278</v>
      </c>
      <c r="F98">
        <v>0.97371340795583705</v>
      </c>
      <c r="H98" s="9">
        <f t="shared" si="16"/>
        <v>5.9574735233094174</v>
      </c>
    </row>
    <row r="99" spans="2:8" ht="15.6" thickTop="1" thickBot="1" x14ac:dyDescent="0.35">
      <c r="H99" s="9">
        <f t="shared" si="16"/>
        <v>0</v>
      </c>
    </row>
    <row r="100" spans="2:8" ht="15.6" thickTop="1" thickBot="1" x14ac:dyDescent="0.35">
      <c r="B100">
        <v>0.41159527934294798</v>
      </c>
      <c r="D100">
        <v>1.2074305653041699</v>
      </c>
      <c r="F100">
        <v>4.3384476786623001</v>
      </c>
      <c r="H100" s="9">
        <f t="shared" si="16"/>
        <v>5.9574735233094183</v>
      </c>
    </row>
    <row r="101" spans="2:8" ht="15.6" thickTop="1" thickBot="1" x14ac:dyDescent="0.35">
      <c r="H101" s="9">
        <f t="shared" si="16"/>
        <v>0</v>
      </c>
    </row>
    <row r="102" spans="2:8" ht="15.6" thickTop="1" thickBot="1" x14ac:dyDescent="0.35">
      <c r="B102">
        <v>0.95243812636900305</v>
      </c>
      <c r="D102">
        <v>1.92716020813928</v>
      </c>
      <c r="F102">
        <v>3.07787518880113</v>
      </c>
      <c r="H102" s="9">
        <f t="shared" si="16"/>
        <v>5.9574735233094129</v>
      </c>
    </row>
    <row r="103" spans="2:8" ht="15" thickTop="1" x14ac:dyDescent="0.3"/>
    <row r="104" spans="2:8" x14ac:dyDescent="0.3">
      <c r="D104" t="s">
        <v>18</v>
      </c>
    </row>
    <row r="105" spans="2:8" ht="15" thickBot="1" x14ac:dyDescent="0.35">
      <c r="H105" s="9" t="s">
        <v>5</v>
      </c>
    </row>
    <row r="106" spans="2:8" ht="15.6" thickTop="1" thickBot="1" x14ac:dyDescent="0.35">
      <c r="B106">
        <v>3.1110411119405699</v>
      </c>
      <c r="D106">
        <v>3.1264454183089798</v>
      </c>
      <c r="F106">
        <v>0.93261822045609699</v>
      </c>
      <c r="H106" s="9">
        <f>B106+D106+F106</f>
        <v>7.1701047507056463</v>
      </c>
    </row>
    <row r="107" spans="2:8" ht="15.6" thickTop="1" thickBot="1" x14ac:dyDescent="0.35">
      <c r="H107" s="9">
        <f t="shared" ref="H107:H112" si="17">B107+D107+F107</f>
        <v>0</v>
      </c>
    </row>
    <row r="108" spans="2:8" ht="15.6" thickTop="1" thickBot="1" x14ac:dyDescent="0.35">
      <c r="B108">
        <v>3.49611116371638</v>
      </c>
      <c r="D108">
        <v>2.2985992506302702</v>
      </c>
      <c r="F108">
        <v>1.37539433635898</v>
      </c>
      <c r="H108" s="9">
        <f t="shared" si="17"/>
        <v>7.1701047507056295</v>
      </c>
    </row>
    <row r="109" spans="2:8" ht="15.6" thickTop="1" thickBot="1" x14ac:dyDescent="0.35">
      <c r="H109" s="9">
        <f t="shared" si="17"/>
        <v>0</v>
      </c>
    </row>
    <row r="110" spans="2:8" ht="15.6" thickTop="1" thickBot="1" x14ac:dyDescent="0.35">
      <c r="B110">
        <v>0.41236651016907799</v>
      </c>
      <c r="D110">
        <v>1.44038329717348</v>
      </c>
      <c r="F110">
        <v>5.3173549433630898</v>
      </c>
      <c r="H110" s="9">
        <f t="shared" si="17"/>
        <v>7.1701047507056472</v>
      </c>
    </row>
    <row r="111" spans="2:8" ht="15.6" thickTop="1" thickBot="1" x14ac:dyDescent="0.35">
      <c r="H111" s="9">
        <f t="shared" si="17"/>
        <v>0</v>
      </c>
    </row>
    <row r="112" spans="2:8" ht="15.6" thickTop="1" thickBot="1" x14ac:dyDescent="0.35">
      <c r="B112">
        <v>1.26014792318873</v>
      </c>
      <c r="D112">
        <v>2.4613631793533899</v>
      </c>
      <c r="F112">
        <v>3.44859364816352</v>
      </c>
      <c r="H112" s="9">
        <f t="shared" si="17"/>
        <v>7.1701047507056401</v>
      </c>
    </row>
    <row r="113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 Netti - ilaria.netti@studio.unibo.it</dc:creator>
  <cp:lastModifiedBy>Ilaria Netti - ilaria.netti@studio.unibo.it</cp:lastModifiedBy>
  <dcterms:created xsi:type="dcterms:W3CDTF">2026-09-09T09:28:52Z</dcterms:created>
  <dcterms:modified xsi:type="dcterms:W3CDTF">2026-10-07T10:35:57Z</dcterms:modified>
</cp:coreProperties>
</file>